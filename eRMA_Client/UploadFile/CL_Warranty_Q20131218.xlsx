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9440" windowHeight="12045"/>
  </bookViews>
  <sheets>
    <sheet name="Sheet1" sheetId="1" r:id="rId1"/>
  </sheets>
  <definedNames>
    <definedName name="_xlnm.Print_Area" localSheetId="0">Sheet1!$A$1:$F$31</definedName>
    <definedName name="_xlnm.Print_Titles" localSheetId="0">Sheet1!$1:$9</definedName>
  </definedNames>
  <calcPr calcId="125725"/>
</workbook>
</file>

<file path=xl/calcChain.xml><?xml version="1.0" encoding="utf-8"?>
<calcChain xmlns="http://schemas.openxmlformats.org/spreadsheetml/2006/main">
  <c r="I14" i="1"/>
  <c r="H10" l="1"/>
  <c r="E10"/>
  <c r="E22" s="1"/>
  <c r="G10"/>
  <c r="H13" s="1"/>
  <c r="I13" s="1"/>
  <c r="E23" l="1"/>
  <c r="E24" s="1"/>
  <c r="A21" l="1"/>
</calcChain>
</file>

<file path=xl/sharedStrings.xml><?xml version="1.0" encoding="utf-8"?>
<sst xmlns="http://schemas.openxmlformats.org/spreadsheetml/2006/main" count="69" uniqueCount="67">
  <si>
    <t>項目</t>
    <phoneticPr fontId="1" type="noConversion"/>
  </si>
  <si>
    <t>功能</t>
    <phoneticPr fontId="1" type="noConversion"/>
  </si>
  <si>
    <t>名稱</t>
  </si>
  <si>
    <t>日期</t>
  </si>
  <si>
    <t>連絡</t>
    <phoneticPr fontId="1" type="noConversion"/>
  </si>
  <si>
    <t>Email</t>
    <phoneticPr fontId="1" type="noConversion"/>
  </si>
  <si>
    <t>代表人</t>
    <phoneticPr fontId="1" type="noConversion"/>
  </si>
  <si>
    <t>單號</t>
    <phoneticPr fontId="1" type="noConversion"/>
  </si>
  <si>
    <t>Monica Tsai</t>
    <phoneticPr fontId="1" type="noConversion"/>
  </si>
  <si>
    <t>案名</t>
    <phoneticPr fontId="1" type="noConversion"/>
  </si>
  <si>
    <t>編號</t>
    <phoneticPr fontId="3" type="noConversion"/>
  </si>
  <si>
    <t>Erica 賴美芳</t>
    <phoneticPr fontId="1" type="noConversion"/>
  </si>
  <si>
    <t>內容</t>
    <phoneticPr fontId="1" type="noConversion"/>
  </si>
  <si>
    <t>工作天</t>
    <phoneticPr fontId="1" type="noConversion"/>
  </si>
  <si>
    <t>畫面設計</t>
    <phoneticPr fontId="1" type="noConversion"/>
  </si>
  <si>
    <t>測試修正</t>
    <phoneticPr fontId="1" type="noConversion"/>
  </si>
  <si>
    <t>CipherLab 欣技資訊股份有限公司</t>
    <phoneticPr fontId="1" type="noConversion"/>
  </si>
  <si>
    <t xml:space="preserve"> </t>
    <phoneticPr fontId="1" type="noConversion"/>
  </si>
  <si>
    <t>客戶確認用印:</t>
    <phoneticPr fontId="1" type="noConversion"/>
  </si>
  <si>
    <t>或:</t>
    <phoneticPr fontId="1" type="noConversion"/>
  </si>
  <si>
    <t xml:space="preserve">請回傳至: </t>
    <phoneticPr fontId="1" type="noConversion"/>
  </si>
  <si>
    <t>02-23142661</t>
  </si>
  <si>
    <t>注意
事項</t>
    <phoneticPr fontId="3" type="noConversion"/>
  </si>
  <si>
    <t>小計</t>
    <phoneticPr fontId="3" type="noConversion"/>
  </si>
  <si>
    <t>稅金</t>
    <phoneticPr fontId="1" type="noConversion"/>
  </si>
  <si>
    <t>合計總額</t>
    <phoneticPr fontId="1" type="noConversion"/>
  </si>
  <si>
    <t>小計</t>
    <phoneticPr fontId="1" type="noConversion"/>
  </si>
  <si>
    <t>備註</t>
    <phoneticPr fontId="1" type="noConversion"/>
  </si>
  <si>
    <t>系統分析設計</t>
    <phoneticPr fontId="1" type="noConversion"/>
  </si>
  <si>
    <t>表單功能</t>
    <phoneticPr fontId="1" type="noConversion"/>
  </si>
  <si>
    <t>3-1</t>
    <phoneticPr fontId="1" type="noConversion"/>
  </si>
  <si>
    <t>3-2</t>
    <phoneticPr fontId="1" type="noConversion"/>
  </si>
  <si>
    <t>Prototype Design</t>
    <phoneticPr fontId="1" type="noConversion"/>
  </si>
  <si>
    <t>功能表單及邏輯程式設計</t>
    <phoneticPr fontId="1" type="noConversion"/>
  </si>
  <si>
    <t>monica@icat-tech.com.tw</t>
    <phoneticPr fontId="1" type="noConversion"/>
  </si>
  <si>
    <t xml:space="preserve"> </t>
    <phoneticPr fontId="1" type="noConversion"/>
  </si>
  <si>
    <t>1.)有效期限為30天。</t>
    <phoneticPr fontId="8" type="noConversion"/>
  </si>
  <si>
    <t>2.)本報價依據現在需求資料預估, 實際是否差異仍待詳細需求確認.</t>
    <phoneticPr fontId="3" type="noConversion"/>
  </si>
  <si>
    <t>3.)本報價為含稅價</t>
    <phoneticPr fontId="3" type="noConversion"/>
  </si>
  <si>
    <t>4.)付款方式: 畫面雛型確認付款30%, 系統交付測試30%, 驗收付款40%</t>
    <phoneticPr fontId="3" type="noConversion"/>
  </si>
  <si>
    <t>文件項目</t>
    <phoneticPr fontId="1" type="noConversion"/>
  </si>
  <si>
    <t>20131217A</t>
    <phoneticPr fontId="3" type="noConversion"/>
  </si>
  <si>
    <t>Q2013121701</t>
    <phoneticPr fontId="1" type="noConversion"/>
  </si>
  <si>
    <t>延保/全保設定</t>
    <phoneticPr fontId="1" type="noConversion"/>
  </si>
  <si>
    <t>特殊保固設定</t>
    <phoneticPr fontId="1" type="noConversion"/>
  </si>
  <si>
    <t>售後服務購買</t>
    <phoneticPr fontId="1" type="noConversion"/>
  </si>
  <si>
    <t>1.保固基本資料設定
2.保固年數單價設定及失效功能
3.複製/新增版本/修改/刪除取消功能
4. 設定查詢功能</t>
    <phoneticPr fontId="1" type="noConversion"/>
  </si>
  <si>
    <t>售後加購PI</t>
    <phoneticPr fontId="1" type="noConversion"/>
  </si>
  <si>
    <t>輸出PI表單內容</t>
    <phoneticPr fontId="1" type="noConversion"/>
  </si>
  <si>
    <t>批次料號匯入查詢</t>
    <phoneticPr fontId="1" type="noConversion"/>
  </si>
  <si>
    <t>1. 提供上傳檔案匯入功能
2. 列表顯示各序號保固目前狀態
3. 列表顯示各序號保固購買記錄</t>
    <phoneticPr fontId="1" type="noConversion"/>
  </si>
  <si>
    <t xml:space="preserve"> </t>
    <phoneticPr fontId="1" type="noConversion"/>
  </si>
  <si>
    <t>RMA保固資訊</t>
    <phoneticPr fontId="1" type="noConversion"/>
  </si>
  <si>
    <t>1. 收貨介面增加保固資訊顯示
2. 業務報價介面加保固資訊顯示
3. 維修介面加保固資訊顯示</t>
    <phoneticPr fontId="1" type="noConversion"/>
  </si>
  <si>
    <t>測試修正與微調</t>
    <phoneticPr fontId="1" type="noConversion"/>
  </si>
  <si>
    <t>保固銷售系統</t>
    <phoneticPr fontId="3" type="noConversion"/>
  </si>
  <si>
    <t>系統程式及資料庫定義文件 電子檔 一式</t>
    <phoneticPr fontId="1" type="noConversion"/>
  </si>
  <si>
    <t>1). 系統分析與DB建立
2). 開發環境建立
3). 系統架構與切頁面建立設計</t>
    <phoneticPr fontId="1" type="noConversion"/>
  </si>
  <si>
    <t>1.選取訂單項次新增功能
2.輸入料號新增功能
3.修改及刪除取消功能
4.售後加購限制及相關條件邏輯處理
5. 序號選取或輸入加入功能
6. 購買記錄查詢功能
7. 流程整合功能</t>
    <phoneticPr fontId="1" type="noConversion"/>
  </si>
  <si>
    <t>版本凍結控制</t>
    <phoneticPr fontId="1" type="noConversion"/>
  </si>
  <si>
    <t>3-3</t>
    <phoneticPr fontId="1" type="noConversion"/>
  </si>
  <si>
    <t>3-4</t>
    <phoneticPr fontId="1" type="noConversion"/>
  </si>
  <si>
    <t>3-5</t>
    <phoneticPr fontId="1" type="noConversion"/>
  </si>
  <si>
    <t>3-6</t>
    <phoneticPr fontId="1" type="noConversion"/>
  </si>
  <si>
    <t>3-7</t>
    <phoneticPr fontId="1" type="noConversion"/>
  </si>
  <si>
    <t>1.保固基本資料設定
2. 料號選取及年數設定
3. 新增版本/修改/刪除取消功能
4. 設定查詢功能</t>
    <phoneticPr fontId="1" type="noConversion"/>
  </si>
  <si>
    <t>版本設定狀態處理與送至流程處理，凍結版本之相關機制與儲存檢查。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</si>
</sst>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_);[Red]\(#,##0\)"/>
    <numFmt numFmtId="177" formatCode="m&quot;月&quot;d&quot;日&quot;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細明體"/>
      <family val="3"/>
      <charset val="136"/>
    </font>
    <font>
      <u/>
      <sz val="12"/>
      <color theme="10"/>
      <name val="新細明體"/>
      <family val="1"/>
      <charset val="136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indexed="8"/>
      <name val="微軟正黑體"/>
      <family val="2"/>
      <charset val="136"/>
    </font>
    <font>
      <sz val="12"/>
      <color theme="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4" borderId="0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6" fillId="4" borderId="3" xfId="0" applyFont="1" applyFill="1" applyBorder="1" applyAlignment="1">
      <alignment horizontal="left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9" fillId="0" borderId="0" xfId="1" applyAlignment="1" applyProtection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12" xfId="0" applyFont="1" applyBorder="1">
      <alignment vertical="center"/>
    </xf>
    <xf numFmtId="0" fontId="2" fillId="0" borderId="0" xfId="0" applyFont="1" applyBorder="1" applyAlignment="1">
      <alignment horizontal="right" vertical="center" wrapText="1"/>
    </xf>
    <xf numFmtId="0" fontId="11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77" fontId="11" fillId="0" borderId="1" xfId="0" quotePrefix="1" applyNumberFormat="1" applyFont="1" applyBorder="1" applyAlignment="1">
      <alignment horizontal="right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1" applyFont="1" applyAlignment="1" applyProtection="1">
      <alignment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right" vertical="center"/>
    </xf>
    <xf numFmtId="176" fontId="12" fillId="4" borderId="6" xfId="0" applyNumberFormat="1" applyFont="1" applyFill="1" applyBorder="1" applyAlignment="1">
      <alignment horizontal="right" vertical="center"/>
    </xf>
    <xf numFmtId="176" fontId="12" fillId="4" borderId="11" xfId="0" applyNumberFormat="1" applyFont="1" applyFill="1" applyBorder="1" applyAlignment="1">
      <alignment horizontal="right" vertical="center"/>
    </xf>
    <xf numFmtId="176" fontId="12" fillId="4" borderId="13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right" vertical="center"/>
    </xf>
    <xf numFmtId="176" fontId="12" fillId="4" borderId="1" xfId="0" applyNumberFormat="1" applyFont="1" applyFill="1" applyBorder="1" applyAlignment="1">
      <alignment horizontal="righ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6" fillId="4" borderId="3" xfId="0" applyFont="1" applyFill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2886074</xdr:colOff>
      <xdr:row>0</xdr:row>
      <xdr:rowOff>57150</xdr:rowOff>
    </xdr:from>
    <xdr:to>
      <xdr:col>5</xdr:col>
      <xdr:colOff>523874</xdr:colOff>
      <xdr:row>2</xdr:row>
      <xdr:rowOff>95250</xdr:rowOff>
    </xdr:to>
    <xdr:sp macro="" textlink="">
      <xdr:nvSpPr>
        <xdr:cNvPr id="6" name="LT"/>
        <xdr:cNvSpPr txBox="1">
          <a:spLocks noChangeArrowheads="1"/>
        </xdr:cNvSpPr>
      </xdr:nvSpPr>
      <xdr:spPr bwMode="auto">
        <a:xfrm>
          <a:off x="4686299" y="57150"/>
          <a:ext cx="2752725" cy="476250"/>
        </a:xfrm>
        <a:prstGeom prst="rect">
          <a:avLst/>
        </a:prstGeom>
        <a:noFill/>
        <a:ln w="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  Tel:(02)2311-6116               Fax:(02)2314-2662</a:t>
          </a:r>
        </a:p>
        <a:p>
          <a:pPr algn="l" rtl="0">
            <a:defRPr sz="1000"/>
          </a:pPr>
          <a:r>
            <a:rPr lang="en-US" altLang="zh-TW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  <a:r>
            <a:rPr lang="zh-TW" altLang="en-US" sz="1000" b="0" i="0" strike="noStrike">
              <a:solidFill>
                <a:srgbClr val="000000"/>
              </a:solidFill>
              <a:latin typeface="細明體"/>
              <a:ea typeface="細明體"/>
            </a:rPr>
            <a:t>地址</a:t>
          </a:r>
          <a:r>
            <a:rPr lang="en-US" altLang="zh-TW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: </a:t>
          </a:r>
          <a:r>
            <a:rPr lang="zh-TW" altLang="en-US" sz="1000" b="0" i="0" strike="noStrike">
              <a:solidFill>
                <a:srgbClr val="000000"/>
              </a:solidFill>
              <a:latin typeface="細明體"/>
              <a:ea typeface="細明體"/>
            </a:rPr>
            <a:t>台北市忠孝西路一段</a:t>
          </a:r>
          <a:r>
            <a:rPr lang="en-US" altLang="zh-TW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50</a:t>
          </a:r>
          <a:r>
            <a:rPr lang="zh-TW" altLang="en-US" sz="1000" b="0" i="0" strike="noStrike">
              <a:solidFill>
                <a:srgbClr val="000000"/>
              </a:solidFill>
              <a:latin typeface="細明體"/>
              <a:ea typeface="細明體"/>
            </a:rPr>
            <a:t>號</a:t>
          </a:r>
          <a:r>
            <a:rPr lang="en-US" altLang="zh-TW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23</a:t>
          </a:r>
          <a:r>
            <a:rPr lang="zh-TW" altLang="en-US" sz="1000" b="0" i="0" strike="noStrike">
              <a:solidFill>
                <a:srgbClr val="000000"/>
              </a:solidFill>
              <a:latin typeface="細明體"/>
              <a:ea typeface="細明體"/>
            </a:rPr>
            <a:t>樓之</a:t>
          </a:r>
          <a:r>
            <a:rPr lang="en-US" altLang="zh-TW" sz="1000" b="0" i="0" strike="noStrike">
              <a:solidFill>
                <a:srgbClr val="000000"/>
              </a:solidFill>
              <a:latin typeface="細明體"/>
              <a:ea typeface="細明體"/>
            </a:rPr>
            <a:t>6</a:t>
          </a:r>
          <a:endParaRPr lang="zh-TW" altLang="en-US" sz="1000" b="0" i="0" strike="noStrike">
            <a:solidFill>
              <a:srgbClr val="000000"/>
            </a:solidFill>
            <a:latin typeface="細明體"/>
            <a:ea typeface="細明體"/>
          </a:endParaRPr>
        </a:p>
      </xdr:txBody>
    </xdr:sp>
    <xdr:clientData/>
  </xdr:twoCellAnchor>
  <xdr:twoCellAnchor>
    <xdr:from>
      <xdr:col>0</xdr:col>
      <xdr:colOff>0</xdr:colOff>
      <xdr:row>2</xdr:row>
      <xdr:rowOff>104775</xdr:rowOff>
    </xdr:from>
    <xdr:to>
      <xdr:col>5</xdr:col>
      <xdr:colOff>657225</xdr:colOff>
      <xdr:row>7</xdr:row>
      <xdr:rowOff>95250</xdr:rowOff>
    </xdr:to>
    <xdr:sp macro="" textlink="">
      <xdr:nvSpPr>
        <xdr:cNvPr id="8" name="INVB1"/>
        <xdr:cNvSpPr>
          <a:spLocks noChangeArrowheads="1"/>
        </xdr:cNvSpPr>
      </xdr:nvSpPr>
      <xdr:spPr bwMode="auto">
        <a:xfrm>
          <a:off x="0" y="1276350"/>
          <a:ext cx="7877175" cy="10382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114301</xdr:colOff>
      <xdr:row>0</xdr:row>
      <xdr:rowOff>1</xdr:rowOff>
    </xdr:from>
    <xdr:to>
      <xdr:col>2</xdr:col>
      <xdr:colOff>866776</xdr:colOff>
      <xdr:row>1</xdr:row>
      <xdr:rowOff>200026</xdr:rowOff>
    </xdr:to>
    <xdr:pic>
      <xdr:nvPicPr>
        <xdr:cNvPr id="9" name="Picture 8" descr="ICAT-LOGO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1" y="1"/>
          <a:ext cx="255270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ica@icat-tech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0"/>
  <sheetViews>
    <sheetView tabSelected="1" workbookViewId="0">
      <selection activeCell="N16" sqref="N16"/>
    </sheetView>
  </sheetViews>
  <sheetFormatPr defaultRowHeight="15.75"/>
  <cols>
    <col min="1" max="1" width="7.5" style="32" customWidth="1"/>
    <col min="2" max="2" width="16.125" style="13" bestFit="1" customWidth="1"/>
    <col min="3" max="3" width="46.75" style="14" customWidth="1"/>
    <col min="4" max="4" width="9" style="13"/>
    <col min="5" max="5" width="11.375" style="6" customWidth="1"/>
    <col min="6" max="8" width="9" style="6"/>
    <col min="9" max="9" width="10" style="6" bestFit="1" customWidth="1"/>
    <col min="10" max="16384" width="9" style="6"/>
  </cols>
  <sheetData>
    <row r="1" spans="1:9">
      <c r="A1" s="26"/>
      <c r="B1" s="6"/>
      <c r="C1" s="6"/>
      <c r="D1" s="6"/>
      <c r="G1" s="7"/>
      <c r="H1" s="8"/>
      <c r="I1" s="8"/>
    </row>
    <row r="2" spans="1:9" ht="18.75" customHeight="1">
      <c r="A2" s="27"/>
      <c r="B2" s="9"/>
      <c r="C2" s="9"/>
      <c r="D2" s="9"/>
      <c r="E2" s="9"/>
      <c r="F2" s="9"/>
      <c r="G2" s="7"/>
      <c r="H2" s="8"/>
      <c r="I2" s="8"/>
    </row>
    <row r="3" spans="1:9">
      <c r="A3" s="27"/>
      <c r="B3" s="9" t="s">
        <v>35</v>
      </c>
      <c r="C3" s="9"/>
      <c r="D3" s="9"/>
      <c r="E3" s="9"/>
      <c r="F3" s="9"/>
      <c r="G3" s="7"/>
      <c r="H3" s="8"/>
      <c r="I3" s="8"/>
    </row>
    <row r="4" spans="1:9">
      <c r="A4" s="28" t="s">
        <v>2</v>
      </c>
      <c r="B4" s="66" t="s">
        <v>16</v>
      </c>
      <c r="C4" s="66"/>
      <c r="D4" s="10" t="s">
        <v>3</v>
      </c>
      <c r="E4" s="62">
        <v>41625</v>
      </c>
      <c r="F4" s="63"/>
      <c r="G4" s="7"/>
      <c r="H4" s="8"/>
      <c r="I4" s="8"/>
    </row>
    <row r="5" spans="1:9" ht="22.5" customHeight="1">
      <c r="A5" s="28" t="s">
        <v>9</v>
      </c>
      <c r="B5" s="68" t="s">
        <v>55</v>
      </c>
      <c r="C5" s="68"/>
      <c r="D5" s="11" t="s">
        <v>10</v>
      </c>
      <c r="E5" s="64" t="s">
        <v>41</v>
      </c>
      <c r="F5" s="65"/>
      <c r="G5" s="7"/>
      <c r="H5" s="8"/>
      <c r="I5" s="8"/>
    </row>
    <row r="6" spans="1:9" ht="16.5">
      <c r="A6" s="28" t="s">
        <v>4</v>
      </c>
      <c r="B6" s="58" t="s">
        <v>11</v>
      </c>
      <c r="C6" s="59"/>
      <c r="D6" s="12" t="s">
        <v>6</v>
      </c>
      <c r="E6" s="67" t="s">
        <v>8</v>
      </c>
      <c r="F6" s="67"/>
      <c r="G6" s="7"/>
      <c r="H6" s="8"/>
      <c r="I6" s="8"/>
    </row>
    <row r="7" spans="1:9" ht="16.5">
      <c r="A7" s="28" t="s">
        <v>5</v>
      </c>
      <c r="B7" s="58"/>
      <c r="C7" s="59"/>
      <c r="D7" s="12" t="s">
        <v>7</v>
      </c>
      <c r="E7" s="60" t="s">
        <v>42</v>
      </c>
      <c r="F7" s="61"/>
      <c r="G7" s="7"/>
      <c r="H7" s="8"/>
      <c r="I7" s="8"/>
    </row>
    <row r="8" spans="1:9">
      <c r="A8" s="27"/>
      <c r="B8" s="9"/>
      <c r="C8" s="9"/>
      <c r="D8" s="9"/>
      <c r="E8" s="9"/>
      <c r="F8" s="9"/>
      <c r="G8" s="7"/>
      <c r="H8" s="8"/>
      <c r="I8" s="8"/>
    </row>
    <row r="9" spans="1:9" s="15" customFormat="1" ht="22.5" customHeight="1">
      <c r="A9" s="29" t="s">
        <v>0</v>
      </c>
      <c r="B9" s="1" t="s">
        <v>1</v>
      </c>
      <c r="C9" s="2" t="s">
        <v>12</v>
      </c>
      <c r="D9" s="1" t="s">
        <v>13</v>
      </c>
      <c r="E9" s="21" t="s">
        <v>26</v>
      </c>
      <c r="F9" s="21" t="s">
        <v>27</v>
      </c>
    </row>
    <row r="10" spans="1:9" s="15" customFormat="1" ht="47.25" customHeight="1">
      <c r="A10" s="30">
        <v>1</v>
      </c>
      <c r="B10" s="4" t="s">
        <v>28</v>
      </c>
      <c r="C10" s="34" t="s">
        <v>57</v>
      </c>
      <c r="D10" s="5">
        <v>1</v>
      </c>
      <c r="E10" s="46">
        <f>I14</f>
        <v>168000</v>
      </c>
      <c r="F10" s="53" t="s">
        <v>17</v>
      </c>
      <c r="G10" s="36">
        <f>SUM(C10:D21)</f>
        <v>21</v>
      </c>
      <c r="H10" s="36">
        <f>(SUM(D13:D20)+D10+D11)*8000/1.05</f>
        <v>160000</v>
      </c>
      <c r="I10" s="36"/>
    </row>
    <row r="11" spans="1:9" s="15" customFormat="1" ht="32.25" customHeight="1">
      <c r="A11" s="30">
        <v>2</v>
      </c>
      <c r="B11" s="3" t="s">
        <v>14</v>
      </c>
      <c r="C11" s="24" t="s">
        <v>32</v>
      </c>
      <c r="D11" s="5">
        <v>1.5</v>
      </c>
      <c r="E11" s="47"/>
      <c r="F11" s="47"/>
      <c r="G11" s="36"/>
      <c r="H11" s="36"/>
      <c r="I11" s="36"/>
    </row>
    <row r="12" spans="1:9" s="15" customFormat="1" ht="32.25" customHeight="1">
      <c r="A12" s="30">
        <v>3</v>
      </c>
      <c r="B12" s="3" t="s">
        <v>29</v>
      </c>
      <c r="C12" s="56" t="s">
        <v>33</v>
      </c>
      <c r="D12" s="57"/>
      <c r="E12" s="47"/>
      <c r="F12" s="47"/>
      <c r="G12" s="36"/>
      <c r="H12" s="36"/>
      <c r="I12" s="36"/>
    </row>
    <row r="13" spans="1:9" s="15" customFormat="1" ht="66" customHeight="1">
      <c r="A13" s="33" t="s">
        <v>30</v>
      </c>
      <c r="B13" s="22" t="s">
        <v>43</v>
      </c>
      <c r="C13" s="24" t="s">
        <v>46</v>
      </c>
      <c r="D13" s="5">
        <v>2.5</v>
      </c>
      <c r="E13" s="47"/>
      <c r="F13" s="47"/>
      <c r="G13" s="36"/>
      <c r="H13" s="36">
        <f>G10</f>
        <v>21</v>
      </c>
      <c r="I13" s="36">
        <f>8000*H13</f>
        <v>168000</v>
      </c>
    </row>
    <row r="14" spans="1:9" ht="71.25" customHeight="1">
      <c r="A14" s="33" t="s">
        <v>31</v>
      </c>
      <c r="B14" s="23" t="s">
        <v>44</v>
      </c>
      <c r="C14" s="25" t="s">
        <v>65</v>
      </c>
      <c r="D14" s="5">
        <v>3</v>
      </c>
      <c r="E14" s="47"/>
      <c r="F14" s="47"/>
      <c r="I14" s="37">
        <f>(SUM(D13:D21)+D10+D11)*8000</f>
        <v>168000</v>
      </c>
    </row>
    <row r="15" spans="1:9" ht="41.25" customHeight="1">
      <c r="A15" s="33" t="s">
        <v>60</v>
      </c>
      <c r="B15" s="23" t="s">
        <v>59</v>
      </c>
      <c r="C15" s="25" t="s">
        <v>66</v>
      </c>
      <c r="D15" s="5">
        <v>1</v>
      </c>
      <c r="E15" s="47"/>
      <c r="F15" s="47"/>
      <c r="I15" s="37"/>
    </row>
    <row r="16" spans="1:9" ht="111.75" customHeight="1">
      <c r="A16" s="33" t="s">
        <v>61</v>
      </c>
      <c r="B16" s="23" t="s">
        <v>45</v>
      </c>
      <c r="C16" s="25" t="s">
        <v>58</v>
      </c>
      <c r="D16" s="5">
        <v>6</v>
      </c>
      <c r="E16" s="47"/>
      <c r="F16" s="47"/>
    </row>
    <row r="17" spans="1:8" ht="37.5" customHeight="1">
      <c r="A17" s="33" t="s">
        <v>62</v>
      </c>
      <c r="B17" s="23" t="s">
        <v>47</v>
      </c>
      <c r="C17" s="25" t="s">
        <v>48</v>
      </c>
      <c r="D17" s="5">
        <v>1</v>
      </c>
      <c r="E17" s="47"/>
      <c r="F17" s="47"/>
    </row>
    <row r="18" spans="1:8" ht="61.5" customHeight="1">
      <c r="A18" s="33" t="s">
        <v>63</v>
      </c>
      <c r="B18" s="23" t="s">
        <v>49</v>
      </c>
      <c r="C18" s="25" t="s">
        <v>50</v>
      </c>
      <c r="D18" s="5">
        <v>1</v>
      </c>
      <c r="E18" s="47"/>
      <c r="F18" s="47"/>
    </row>
    <row r="19" spans="1:8" ht="56.25" customHeight="1">
      <c r="A19" s="33" t="s">
        <v>64</v>
      </c>
      <c r="B19" s="23" t="s">
        <v>52</v>
      </c>
      <c r="C19" s="25" t="s">
        <v>53</v>
      </c>
      <c r="D19" s="5">
        <v>2</v>
      </c>
      <c r="E19" s="47"/>
      <c r="F19" s="47"/>
    </row>
    <row r="20" spans="1:8" ht="27.75" customHeight="1">
      <c r="A20" s="31">
        <v>4</v>
      </c>
      <c r="B20" s="3" t="s">
        <v>15</v>
      </c>
      <c r="C20" s="24" t="s">
        <v>54</v>
      </c>
      <c r="D20" s="5">
        <v>2</v>
      </c>
      <c r="E20" s="47"/>
      <c r="F20" s="47"/>
    </row>
    <row r="21" spans="1:8" ht="27.75" customHeight="1">
      <c r="A21" s="31">
        <f t="shared" ref="A21" si="0">A20+1</f>
        <v>5</v>
      </c>
      <c r="B21" s="3" t="s">
        <v>40</v>
      </c>
      <c r="C21" s="35" t="s">
        <v>56</v>
      </c>
      <c r="D21" s="5" t="s">
        <v>51</v>
      </c>
      <c r="E21" s="48"/>
      <c r="F21" s="48"/>
      <c r="G21" s="6" t="s">
        <v>17</v>
      </c>
      <c r="H21" s="6" t="s">
        <v>17</v>
      </c>
    </row>
    <row r="22" spans="1:8" ht="24" customHeight="1">
      <c r="A22" s="43" t="s">
        <v>22</v>
      </c>
      <c r="B22" s="41" t="s">
        <v>36</v>
      </c>
      <c r="C22" s="42"/>
      <c r="D22" s="20" t="s">
        <v>23</v>
      </c>
      <c r="E22" s="55">
        <f>E10</f>
        <v>168000</v>
      </c>
      <c r="F22" s="55"/>
    </row>
    <row r="23" spans="1:8" ht="24" customHeight="1">
      <c r="A23" s="44"/>
      <c r="B23" s="39" t="s">
        <v>37</v>
      </c>
      <c r="C23" s="40"/>
      <c r="D23" s="20" t="s">
        <v>24</v>
      </c>
      <c r="E23" s="55">
        <f>E22*0.05</f>
        <v>8400</v>
      </c>
      <c r="F23" s="55"/>
    </row>
    <row r="24" spans="1:8" ht="18.75" customHeight="1">
      <c r="A24" s="44"/>
      <c r="B24" s="41" t="s">
        <v>38</v>
      </c>
      <c r="C24" s="42"/>
      <c r="D24" s="54" t="s">
        <v>25</v>
      </c>
      <c r="E24" s="49">
        <f>E23+E22</f>
        <v>176400</v>
      </c>
      <c r="F24" s="50"/>
    </row>
    <row r="25" spans="1:8" ht="18.75" customHeight="1">
      <c r="A25" s="45"/>
      <c r="B25" s="39" t="s">
        <v>39</v>
      </c>
      <c r="C25" s="40"/>
      <c r="D25" s="54"/>
      <c r="E25" s="51"/>
      <c r="F25" s="52"/>
    </row>
    <row r="27" spans="1:8">
      <c r="C27" s="19" t="s">
        <v>18</v>
      </c>
    </row>
    <row r="28" spans="1:8" ht="30.75" customHeight="1">
      <c r="D28" s="18"/>
      <c r="E28" s="18"/>
      <c r="F28" s="18"/>
    </row>
    <row r="29" spans="1:8">
      <c r="C29" s="17" t="s">
        <v>20</v>
      </c>
      <c r="D29" s="6" t="s">
        <v>21</v>
      </c>
    </row>
    <row r="30" spans="1:8" ht="16.5">
      <c r="C30" s="17" t="s">
        <v>19</v>
      </c>
      <c r="D30" s="38" t="s">
        <v>34</v>
      </c>
      <c r="E30" s="16"/>
    </row>
  </sheetData>
  <mergeCells count="18">
    <mergeCell ref="B7:C7"/>
    <mergeCell ref="E7:F7"/>
    <mergeCell ref="E4:F4"/>
    <mergeCell ref="E5:F5"/>
    <mergeCell ref="B4:C4"/>
    <mergeCell ref="B6:C6"/>
    <mergeCell ref="E6:F6"/>
    <mergeCell ref="B5:C5"/>
    <mergeCell ref="B22:C22"/>
    <mergeCell ref="B24:C24"/>
    <mergeCell ref="A22:A25"/>
    <mergeCell ref="E10:E21"/>
    <mergeCell ref="E24:F25"/>
    <mergeCell ref="F10:F21"/>
    <mergeCell ref="D24:D25"/>
    <mergeCell ref="E22:F22"/>
    <mergeCell ref="E23:F23"/>
    <mergeCell ref="C12:D12"/>
  </mergeCells>
  <phoneticPr fontId="1" type="noConversion"/>
  <hyperlinks>
    <hyperlink ref="D30" r:id="rId1"/>
  </hyperlinks>
  <pageMargins left="0.23622047244094491" right="0.23622047244094491" top="0.74803149606299213" bottom="0.74803149606299213" header="0.31496062992125984" footer="0.31496062992125984"/>
  <pageSetup paperSize="9" scale="98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Lai (賴美芳)</dc:creator>
  <cp:lastModifiedBy>Monica</cp:lastModifiedBy>
  <cp:lastPrinted>2013-12-11T01:40:49Z</cp:lastPrinted>
  <dcterms:created xsi:type="dcterms:W3CDTF">2013-10-17T07:45:47Z</dcterms:created>
  <dcterms:modified xsi:type="dcterms:W3CDTF">2013-12-18T04:24:35Z</dcterms:modified>
</cp:coreProperties>
</file>